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Exercises" sheetId="2" state="visible" r:id="rId2"/>
    <sheet name="Raw Data" sheetId="3" state="visible" r:id="rId3"/>
    <sheet name="Assumptions" sheetId="4" state="visible" r:id="rId4"/>
    <sheet name="Budg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FFFFFF"/>
    </font>
    <font>
      <b val="1"/>
      <color rgb="001F3A5F"/>
      <sz val="14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3" borderId="1" pivotButton="0" quotePrefix="0" xfId="0"/>
    <xf numFmtId="0" fontId="0" fillId="0" borderId="0" applyAlignment="1" pivotButton="0" quotePrefix="0" xfId="0">
      <alignment vertical="top" wrapText="1"/>
    </xf>
    <xf numFmtId="10" fontId="0" fillId="3" borderId="1" pivotButton="0" quotePrefix="0" xfId="0"/>
    <xf numFmtId="0" fontId="0" fillId="0" borderId="0" applyAlignment="1" pivotButton="0" quotePrefix="0" xfId="0">
      <alignment wrapText="1"/>
    </xf>
    <xf numFmtId="165" fontId="0" fillId="0" borderId="1" pivotButton="0" quotePrefix="0" xfId="0"/>
    <xf numFmtId="4" fontId="0" fillId="0" borderId="1" pivotButton="0" quotePrefix="0" xfId="0"/>
    <xf numFmtId="0" fontId="0" fillId="3" borderId="1" pivotButton="0" quotePrefix="0" xfId="0"/>
    <xf numFmtId="166" fontId="0" fillId="3" borderId="1" pivotButton="0" quotePrefix="0" xfId="0"/>
    <xf numFmtId="166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Module 2 - Excel Practice Workbook</t>
        </is>
      </c>
    </row>
    <row r="3">
      <c r="A3" t="inlineStr">
        <is>
          <t>Hotel: The Aurelia Grand Hotel (fictional), 150 rooms, January 2025.</t>
        </is>
      </c>
    </row>
    <row r="4">
      <c r="A4" t="inlineStr">
        <is>
          <t>Fictional training data generated by Finance &amp; Commercial Training Simulator. Not real company or industry data.</t>
        </is>
      </c>
    </row>
    <row r="5">
      <c r="A5" t="inlineStr"/>
    </row>
    <row r="6">
      <c r="A6" s="2" t="inlineStr">
        <is>
          <t>How to use this workbook</t>
        </is>
      </c>
    </row>
    <row r="7">
      <c r="A7" t="inlineStr">
        <is>
          <t>1. Go to the 'Exercises' sheet. Yellow cells are yours: type a formula starting with '='.</t>
        </is>
      </c>
    </row>
    <row r="8">
      <c r="A8" t="inlineStr">
        <is>
          <t>2. Use cell references, not typed numbers, so the model updates when data changes.</t>
        </is>
      </c>
    </row>
    <row r="9">
      <c r="A9" t="inlineStr">
        <is>
          <t>3. Task 16 is on the 'Raw Data' sheet (column I): write one formula in I2 and copy it down.</t>
        </is>
      </c>
    </row>
    <row r="10">
      <c r="A10" t="inlineStr">
        <is>
          <t>4. Save the file (keep the .xlsx format), then in the app open Excel Workbook Center</t>
        </is>
      </c>
    </row>
    <row r="11">
      <c r="A11" t="inlineStr">
        <is>
          <t xml:space="preserve">   and click 'Grade my workbook'. You will get feedback on every task.</t>
        </is>
      </c>
    </row>
    <row r="12">
      <c r="A12" t="inlineStr"/>
    </row>
    <row r="13">
      <c r="A13" t="inlineStr">
        <is>
          <t>Model structure used here (and in professional models):</t>
        </is>
      </c>
    </row>
    <row r="14">
      <c r="A14" t="inlineStr">
        <is>
          <t xml:space="preserve">   Raw Data  -&gt;  Assumptions  -&gt;  Calculations (Exercises)  -&gt;  Outputs</t>
        </is>
      </c>
    </row>
    <row r="15">
      <c r="A15" t="inlineStr">
        <is>
          <t>Colour code: yellow = your input, blue headers = labels, green = answer key.</t>
        </is>
      </c>
    </row>
    <row r="16">
      <c r="A16" t="inlineStr">
        <is>
          <t>Data validation: Assumptions!B4 only accepts -30% to +30%; B6 is a drop-down list.</t>
        </is>
      </c>
    </row>
    <row r="17">
      <c r="A17" t="inlineStr">
        <is>
          <t>Conditional formatting: Raw Data rooms sold are colour-scaled (red = low, green = high).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70" customWidth="1" min="3" max="3"/>
    <col width="20" customWidth="1" min="4" max="4"/>
    <col width="60" customWidth="1" min="5" max="5"/>
  </cols>
  <sheetData>
    <row r="1">
      <c r="A1" s="3" t="inlineStr">
        <is>
          <t>Exercises - write a formula in each yellow cell</t>
        </is>
      </c>
    </row>
    <row r="2">
      <c r="A2" t="inlineStr">
        <is>
          <t>Tip: hints are in column E. The app explains any mistakes when you grade the file.</t>
        </is>
      </c>
    </row>
    <row r="4">
      <c r="A4" s="4" t="inlineStr">
        <is>
          <t>#</t>
        </is>
      </c>
      <c r="B4" s="4" t="inlineStr">
        <is>
          <t>Task</t>
        </is>
      </c>
      <c r="C4" s="4" t="inlineStr">
        <is>
          <t>Instruction</t>
        </is>
      </c>
      <c r="D4" s="4" t="inlineStr">
        <is>
          <t>Your formula</t>
        </is>
      </c>
      <c r="E4" s="4" t="inlineStr">
        <is>
          <t>Hint</t>
        </is>
      </c>
    </row>
    <row r="5" ht="45" customHeight="1">
      <c r="A5" s="5" t="n">
        <v>1</v>
      </c>
      <c r="B5" s="5" t="inlineStr">
        <is>
          <t>Total rooms sold</t>
        </is>
      </c>
      <c r="C5" s="6" t="inlineStr">
        <is>
          <t>Total rooms sold in January (Raw Data column E).</t>
        </is>
      </c>
      <c r="D5" s="7" t="n"/>
      <c r="E5" s="8" t="inlineStr">
        <is>
          <t>Use SUM over the whole column of rooms sold, rows 2 to 32.</t>
        </is>
      </c>
    </row>
    <row r="6" ht="45" customHeight="1">
      <c r="A6" s="5" t="n">
        <v>2</v>
      </c>
      <c r="B6" s="5" t="inlineStr">
        <is>
          <t>Total room revenue</t>
        </is>
      </c>
      <c r="C6" s="6" t="inlineStr">
        <is>
          <t>Total room revenue in January (Raw Data column F).</t>
        </is>
      </c>
      <c r="D6" s="7" t="n"/>
      <c r="E6" s="8" t="inlineStr">
        <is>
          <t>Same idea as task 1, on the revenue column.</t>
        </is>
      </c>
    </row>
    <row r="7" ht="45" customHeight="1">
      <c r="A7" s="5" t="n">
        <v>3</v>
      </c>
      <c r="B7" s="5" t="inlineStr">
        <is>
          <t>Available room nights</t>
        </is>
      </c>
      <c r="C7" s="6" t="inlineStr">
        <is>
          <t>Total available room nights (Raw Data column D).</t>
        </is>
      </c>
      <c r="D7" s="7" t="n"/>
      <c r="E7" s="8" t="inlineStr">
        <is>
          <t>Available rooms already exclude out-of-order rooms. Add them up.</t>
        </is>
      </c>
    </row>
    <row r="8" ht="45" customHeight="1">
      <c r="A8" s="5" t="n">
        <v>4</v>
      </c>
      <c r="B8" s="5" t="inlineStr">
        <is>
          <t>Occupancy %</t>
        </is>
      </c>
      <c r="C8" s="6" t="inlineStr">
        <is>
          <t>Occupancy = rooms sold / available room nights. Point to your answers in D5 and D7 rather than retyping numbers.</t>
        </is>
      </c>
      <c r="D8" s="9" t="n"/>
      <c r="E8" s="8" t="inlineStr">
        <is>
          <t>Divide D5 by D7. Format the cell as a percentage.</t>
        </is>
      </c>
    </row>
    <row r="9" ht="45" customHeight="1">
      <c r="A9" s="5" t="n">
        <v>5</v>
      </c>
      <c r="B9" s="5" t="inlineStr">
        <is>
          <t>ADR</t>
        </is>
      </c>
      <c r="C9" s="6" t="inlineStr">
        <is>
          <t>ADR = room revenue / rooms sold. Wrap it in IFERROR so it shows 0 instead of #DIV/0! if nothing was sold.</t>
        </is>
      </c>
      <c r="D9" s="7" t="n"/>
      <c r="E9" s="8">
        <f>IFERROR(revenue / rooms sold, 0)</f>
        <v/>
      </c>
    </row>
    <row r="10" ht="45" customHeight="1">
      <c r="A10" s="5" t="n">
        <v>6</v>
      </c>
      <c r="B10" s="5" t="inlineStr">
        <is>
          <t>RevPAR</t>
        </is>
      </c>
      <c r="C10" s="6" t="inlineStr">
        <is>
          <t>RevPAR = room revenue / available room nights.</t>
        </is>
      </c>
      <c r="D10" s="7" t="n"/>
      <c r="E10" s="8" t="inlineStr">
        <is>
          <t>Revenue divided by available rooms, or Occupancy x ADR.</t>
        </is>
      </c>
    </row>
    <row r="11" ht="45" customHeight="1">
      <c r="A11" s="5" t="n">
        <v>7</v>
      </c>
      <c r="B11" s="5" t="inlineStr">
        <is>
          <t>Weekend room revenue</t>
        </is>
      </c>
      <c r="C11" s="6" t="inlineStr">
        <is>
          <t>Room revenue for Weekend nights only (Raw Data column C says Weekday or Weekend).</t>
        </is>
      </c>
      <c r="D11" s="7" t="n"/>
      <c r="E11" s="8" t="inlineStr">
        <is>
          <t>SUMIFS(sum_range, criteria_range, "Weekend")</t>
        </is>
      </c>
    </row>
    <row r="12" ht="45" customHeight="1">
      <c r="A12" s="5" t="n">
        <v>8</v>
      </c>
      <c r="B12" s="5" t="inlineStr">
        <is>
          <t>Weekday rooms sold</t>
        </is>
      </c>
      <c r="C12" s="6" t="inlineStr">
        <is>
          <t>Rooms sold on Weekday nights only.</t>
        </is>
      </c>
      <c r="D12" s="7" t="n"/>
      <c r="E12" s="8" t="inlineStr">
        <is>
          <t>SUMIFS on column E with the criterion "Weekday".</t>
        </is>
      </c>
    </row>
    <row r="13" ht="45" customHeight="1">
      <c r="A13" s="5" t="n">
        <v>9</v>
      </c>
      <c r="B13" s="5" t="inlineStr">
        <is>
          <t>Weekend ADR</t>
        </is>
      </c>
      <c r="C13" s="6" t="inlineStr">
        <is>
          <t>ADR for weekend nights = weekend revenue / weekend rooms sold.</t>
        </is>
      </c>
      <c r="D13" s="7" t="n"/>
      <c r="E13" s="8" t="inlineStr">
        <is>
          <t>You already have weekend revenue in D11. You need a SUMIFS for weekend rooms sold.</t>
        </is>
      </c>
    </row>
    <row r="14" ht="45" customHeight="1">
      <c r="A14" s="5" t="n">
        <v>10</v>
      </c>
      <c r="B14" s="5" t="inlineStr">
        <is>
          <t>Budget ADR lookup</t>
        </is>
      </c>
      <c r="C14" s="6" t="inlineStr">
        <is>
          <t>Look up the budget ADR for "Jan" from the Budget sheet.</t>
        </is>
      </c>
      <c r="D14" s="7" t="n"/>
      <c r="E14" s="8" t="inlineStr">
        <is>
          <t>INDEX(Budget!C2:C13, MATCH("Jan", Budget!A2:A13, 0)) works in every Excel version. In Excel 2021/365 you can also use XLOOKUP("Jan", Budget!A2:A13, Budget!C2:C13).</t>
        </is>
      </c>
    </row>
    <row r="15" ht="45" customHeight="1">
      <c r="A15" s="5" t="n">
        <v>11</v>
      </c>
      <c r="B15" s="5" t="inlineStr">
        <is>
          <t>ADR variance vs budget</t>
        </is>
      </c>
      <c r="C15" s="6" t="inlineStr">
        <is>
          <t>ADR variance = actual ADR - budget ADR.</t>
        </is>
      </c>
      <c r="D15" s="7" t="n"/>
      <c r="E15" s="8" t="inlineStr">
        <is>
          <t>Actual minus budget. A negative answer means ADR was below budget.</t>
        </is>
      </c>
    </row>
    <row r="16" ht="45" customHeight="1">
      <c r="A16" s="5" t="n">
        <v>12</v>
      </c>
      <c r="B16" s="5" t="inlineStr">
        <is>
          <t>Budget flag</t>
        </is>
      </c>
      <c r="C16" s="6" t="inlineStr">
        <is>
          <t>Show "Below budget" if actual occupancy (D8) is below budget occupancy (Budget!B2), otherwise "On or above budget".</t>
        </is>
      </c>
      <c r="D16" s="7" t="n"/>
      <c r="E16" s="8" t="inlineStr">
        <is>
          <t>IF(D8&lt;Budget!B2, "Below budget", "On or above budget")</t>
        </is>
      </c>
    </row>
    <row r="17" ht="45" customHeight="1">
      <c r="A17" s="5" t="n">
        <v>13</v>
      </c>
      <c r="B17" s="5" t="inlineStr">
        <is>
          <t>Busy nights</t>
        </is>
      </c>
      <c r="C17" s="6" t="inlineStr">
        <is>
          <t>Count the nights where at least 130 rooms were sold.</t>
        </is>
      </c>
      <c r="D17" s="7" t="n"/>
      <c r="E17" s="8" t="inlineStr">
        <is>
          <t>COUNTIFS(range, "&gt;=130")</t>
        </is>
      </c>
    </row>
    <row r="18" ht="45" customHeight="1">
      <c r="A18" s="5" t="n">
        <v>14</v>
      </c>
      <c r="B18" s="5" t="inlineStr">
        <is>
          <t>Average weekday rooms sold</t>
        </is>
      </c>
      <c r="C18" s="6" t="inlineStr">
        <is>
          <t>Average rooms sold per Weekday night.</t>
        </is>
      </c>
      <c r="D18" s="7" t="n"/>
      <c r="E18" s="8" t="inlineStr">
        <is>
          <t>AVERAGEIFS(average_range, criteria_range, criterion)</t>
        </is>
      </c>
    </row>
    <row r="19" ht="45" customHeight="1">
      <c r="A19" s="5" t="n">
        <v>15</v>
      </c>
      <c r="B19" s="5" t="inlineStr">
        <is>
          <t>Rate scenario revenue</t>
        </is>
      </c>
      <c r="C19" s="6" t="inlineStr">
        <is>
          <t>Projected January revenue if ADR changes by the rate change on the Assumptions sheet (B4) and demand responds with the elasticity in B5: Revenue x (1 + change) x (1 + change)^elasticity.</t>
        </is>
      </c>
      <c r="D19" s="7" t="n"/>
      <c r="E19" s="8" t="inlineStr">
        <is>
          <t>Point to Assumptions!B4 and Assumptions!B5. The ^ operator raises to a power.</t>
        </is>
      </c>
    </row>
    <row r="21" ht="45" customHeight="1">
      <c r="B21" s="2" t="inlineStr">
        <is>
          <t>Task 16</t>
        </is>
      </c>
      <c r="C21" s="10" t="inlineStr">
        <is>
          <t>In Raw Data!I2 calculate this night's share of January room revenue, then copy the formula down to I32. The total must stay fixed when you copy, so anchor it with $.</t>
        </is>
      </c>
    </row>
  </sheetData>
  <conditionalFormatting sqref="D16">
    <cfRule type="cellIs" priority="1" operator="equal" dxfId="0">
      <formula>"Below budget"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5" customWidth="1" min="4" max="4"/>
    <col width="12" customWidth="1" min="5" max="5"/>
    <col width="15" customWidth="1" min="6" max="6"/>
    <col width="13" customWidth="1" min="7" max="7"/>
    <col width="12" customWidth="1" min="8" max="8"/>
    <col width="20" customWidth="1" min="9" max="9"/>
  </cols>
  <sheetData>
    <row r="1">
      <c r="A1" s="4" t="inlineStr">
        <is>
          <t>Date</t>
        </is>
      </c>
      <c r="B1" s="4" t="inlineStr">
        <is>
          <t>Weekday</t>
        </is>
      </c>
      <c r="C1" s="4" t="inlineStr">
        <is>
          <t>Day Type</t>
        </is>
      </c>
      <c r="D1" s="4" t="inlineStr">
        <is>
          <t>Rooms Available</t>
        </is>
      </c>
      <c r="E1" s="4" t="inlineStr">
        <is>
          <t>Rooms Sold</t>
        </is>
      </c>
      <c r="F1" s="4" t="inlineStr">
        <is>
          <t>Room Revenue</t>
        </is>
      </c>
      <c r="G1" s="4" t="inlineStr">
        <is>
          <t>Cancellations</t>
        </is>
      </c>
      <c r="H1" s="4" t="inlineStr">
        <is>
          <t>Out of Order</t>
        </is>
      </c>
      <c r="I1" s="4" t="inlineStr">
        <is>
          <t>Share of Month Revenue</t>
        </is>
      </c>
    </row>
    <row r="2">
      <c r="A2" s="11" t="n">
        <v>45658</v>
      </c>
      <c r="B2" s="5" t="inlineStr">
        <is>
          <t>Wednesday</t>
        </is>
      </c>
      <c r="C2" s="5" t="inlineStr">
        <is>
          <t>Weekday</t>
        </is>
      </c>
      <c r="D2" s="5" t="n">
        <v>150</v>
      </c>
      <c r="E2" s="5" t="n">
        <v>102</v>
      </c>
      <c r="F2" s="12" t="n">
        <v>37402.96</v>
      </c>
      <c r="G2" s="5" t="n">
        <v>6</v>
      </c>
      <c r="H2" s="5" t="n">
        <v>0</v>
      </c>
      <c r="I2" s="9" t="n"/>
    </row>
    <row r="3">
      <c r="A3" s="11" t="n">
        <v>45659</v>
      </c>
      <c r="B3" s="5" t="inlineStr">
        <is>
          <t>Thursday</t>
        </is>
      </c>
      <c r="C3" s="5" t="inlineStr">
        <is>
          <t>Weekday</t>
        </is>
      </c>
      <c r="D3" s="5" t="n">
        <v>150</v>
      </c>
      <c r="E3" s="5" t="n">
        <v>97</v>
      </c>
      <c r="F3" s="12" t="n">
        <v>36936.61</v>
      </c>
      <c r="G3" s="5" t="n">
        <v>6</v>
      </c>
      <c r="H3" s="5" t="n">
        <v>0</v>
      </c>
      <c r="I3" s="9" t="n"/>
    </row>
    <row r="4">
      <c r="A4" s="11" t="n">
        <v>45660</v>
      </c>
      <c r="B4" s="5" t="inlineStr">
        <is>
          <t>Friday</t>
        </is>
      </c>
      <c r="C4" s="5" t="inlineStr">
        <is>
          <t>Weekend</t>
        </is>
      </c>
      <c r="D4" s="5" t="n">
        <v>150</v>
      </c>
      <c r="E4" s="5" t="n">
        <v>104</v>
      </c>
      <c r="F4" s="12" t="n">
        <v>43499.75</v>
      </c>
      <c r="G4" s="5" t="n">
        <v>8</v>
      </c>
      <c r="H4" s="5" t="n">
        <v>0</v>
      </c>
      <c r="I4" s="9" t="n"/>
    </row>
    <row r="5">
      <c r="A5" s="11" t="n">
        <v>45661</v>
      </c>
      <c r="B5" s="5" t="inlineStr">
        <is>
          <t>Saturday</t>
        </is>
      </c>
      <c r="C5" s="5" t="inlineStr">
        <is>
          <t>Weekend</t>
        </is>
      </c>
      <c r="D5" s="5" t="n">
        <v>150</v>
      </c>
      <c r="E5" s="5" t="n">
        <v>112</v>
      </c>
      <c r="F5" s="12" t="n">
        <v>47326.67</v>
      </c>
      <c r="G5" s="5" t="n">
        <v>9</v>
      </c>
      <c r="H5" s="5" t="n">
        <v>0</v>
      </c>
      <c r="I5" s="9" t="n"/>
    </row>
    <row r="6">
      <c r="A6" s="11" t="n">
        <v>45662</v>
      </c>
      <c r="B6" s="5" t="inlineStr">
        <is>
          <t>Sunday</t>
        </is>
      </c>
      <c r="C6" s="5" t="inlineStr">
        <is>
          <t>Weekday</t>
        </is>
      </c>
      <c r="D6" s="5" t="n">
        <v>147</v>
      </c>
      <c r="E6" s="5" t="n">
        <v>72</v>
      </c>
      <c r="F6" s="12" t="n">
        <v>27255.23</v>
      </c>
      <c r="G6" s="5" t="n">
        <v>6</v>
      </c>
      <c r="H6" s="5" t="n">
        <v>3</v>
      </c>
      <c r="I6" s="9" t="n"/>
    </row>
    <row r="7">
      <c r="A7" s="11" t="n">
        <v>45663</v>
      </c>
      <c r="B7" s="5" t="inlineStr">
        <is>
          <t>Monday</t>
        </is>
      </c>
      <c r="C7" s="5" t="inlineStr">
        <is>
          <t>Weekday</t>
        </is>
      </c>
      <c r="D7" s="5" t="n">
        <v>150</v>
      </c>
      <c r="E7" s="5" t="n">
        <v>97</v>
      </c>
      <c r="F7" s="12" t="n">
        <v>36128.54</v>
      </c>
      <c r="G7" s="5" t="n">
        <v>6</v>
      </c>
      <c r="H7" s="5" t="n">
        <v>0</v>
      </c>
      <c r="I7" s="9" t="n"/>
    </row>
    <row r="8">
      <c r="A8" s="11" t="n">
        <v>45664</v>
      </c>
      <c r="B8" s="5" t="inlineStr">
        <is>
          <t>Tuesday</t>
        </is>
      </c>
      <c r="C8" s="5" t="inlineStr">
        <is>
          <t>Weekday</t>
        </is>
      </c>
      <c r="D8" s="5" t="n">
        <v>150</v>
      </c>
      <c r="E8" s="5" t="n">
        <v>100</v>
      </c>
      <c r="F8" s="12" t="n">
        <v>37303.73</v>
      </c>
      <c r="G8" s="5" t="n">
        <v>3</v>
      </c>
      <c r="H8" s="5" t="n">
        <v>0</v>
      </c>
      <c r="I8" s="9" t="n"/>
    </row>
    <row r="9">
      <c r="A9" s="11" t="n">
        <v>45665</v>
      </c>
      <c r="B9" s="5" t="inlineStr">
        <is>
          <t>Wednesday</t>
        </is>
      </c>
      <c r="C9" s="5" t="inlineStr">
        <is>
          <t>Weekday</t>
        </is>
      </c>
      <c r="D9" s="5" t="n">
        <v>150</v>
      </c>
      <c r="E9" s="5" t="n">
        <v>107</v>
      </c>
      <c r="F9" s="12" t="n">
        <v>39528.16</v>
      </c>
      <c r="G9" s="5" t="n">
        <v>6</v>
      </c>
      <c r="H9" s="5" t="n">
        <v>0</v>
      </c>
      <c r="I9" s="9" t="n"/>
    </row>
    <row r="10">
      <c r="A10" s="11" t="n">
        <v>45666</v>
      </c>
      <c r="B10" s="5" t="inlineStr">
        <is>
          <t>Thursday</t>
        </is>
      </c>
      <c r="C10" s="5" t="inlineStr">
        <is>
          <t>Weekday</t>
        </is>
      </c>
      <c r="D10" s="5" t="n">
        <v>150</v>
      </c>
      <c r="E10" s="5" t="n">
        <v>93</v>
      </c>
      <c r="F10" s="12" t="n">
        <v>33966.34</v>
      </c>
      <c r="G10" s="5" t="n">
        <v>6</v>
      </c>
      <c r="H10" s="5" t="n">
        <v>0</v>
      </c>
      <c r="I10" s="9" t="n"/>
    </row>
    <row r="11">
      <c r="A11" s="11" t="n">
        <v>45667</v>
      </c>
      <c r="B11" s="5" t="inlineStr">
        <is>
          <t>Friday</t>
        </is>
      </c>
      <c r="C11" s="5" t="inlineStr">
        <is>
          <t>Weekend</t>
        </is>
      </c>
      <c r="D11" s="5" t="n">
        <v>149</v>
      </c>
      <c r="E11" s="5" t="n">
        <v>98</v>
      </c>
      <c r="F11" s="12" t="n">
        <v>41137.54</v>
      </c>
      <c r="G11" s="5" t="n">
        <v>7</v>
      </c>
      <c r="H11" s="5" t="n">
        <v>1</v>
      </c>
      <c r="I11" s="9" t="n"/>
    </row>
    <row r="12">
      <c r="A12" s="11" t="n">
        <v>45668</v>
      </c>
      <c r="B12" s="5" t="inlineStr">
        <is>
          <t>Saturday</t>
        </is>
      </c>
      <c r="C12" s="5" t="inlineStr">
        <is>
          <t>Weekend</t>
        </is>
      </c>
      <c r="D12" s="5" t="n">
        <v>150</v>
      </c>
      <c r="E12" s="5" t="n">
        <v>109</v>
      </c>
      <c r="F12" s="12" t="n">
        <v>44760.72</v>
      </c>
      <c r="G12" s="5" t="n">
        <v>6</v>
      </c>
      <c r="H12" s="5" t="n">
        <v>0</v>
      </c>
      <c r="I12" s="9" t="n"/>
    </row>
    <row r="13">
      <c r="A13" s="11" t="n">
        <v>45669</v>
      </c>
      <c r="B13" s="5" t="inlineStr">
        <is>
          <t>Sunday</t>
        </is>
      </c>
      <c r="C13" s="5" t="inlineStr">
        <is>
          <t>Weekday</t>
        </is>
      </c>
      <c r="D13" s="5" t="n">
        <v>150</v>
      </c>
      <c r="E13" s="5" t="n">
        <v>70</v>
      </c>
      <c r="F13" s="12" t="n">
        <v>25964.34</v>
      </c>
      <c r="G13" s="5" t="n">
        <v>6</v>
      </c>
      <c r="H13" s="5" t="n">
        <v>0</v>
      </c>
      <c r="I13" s="9" t="n"/>
    </row>
    <row r="14">
      <c r="A14" s="11" t="n">
        <v>45670</v>
      </c>
      <c r="B14" s="5" t="inlineStr">
        <is>
          <t>Monday</t>
        </is>
      </c>
      <c r="C14" s="5" t="inlineStr">
        <is>
          <t>Weekday</t>
        </is>
      </c>
      <c r="D14" s="5" t="n">
        <v>147</v>
      </c>
      <c r="E14" s="5" t="n">
        <v>103</v>
      </c>
      <c r="F14" s="12" t="n">
        <v>38343.54</v>
      </c>
      <c r="G14" s="5" t="n">
        <v>2</v>
      </c>
      <c r="H14" s="5" t="n">
        <v>3</v>
      </c>
      <c r="I14" s="9" t="n"/>
    </row>
    <row r="15">
      <c r="A15" s="11" t="n">
        <v>45671</v>
      </c>
      <c r="B15" s="5" t="inlineStr">
        <is>
          <t>Tuesday</t>
        </is>
      </c>
      <c r="C15" s="5" t="inlineStr">
        <is>
          <t>Weekday</t>
        </is>
      </c>
      <c r="D15" s="5" t="n">
        <v>149</v>
      </c>
      <c r="E15" s="5" t="n">
        <v>105</v>
      </c>
      <c r="F15" s="12" t="n">
        <v>39598.51</v>
      </c>
      <c r="G15" s="5" t="n">
        <v>4</v>
      </c>
      <c r="H15" s="5" t="n">
        <v>1</v>
      </c>
      <c r="I15" s="9" t="n"/>
    </row>
    <row r="16">
      <c r="A16" s="11" t="n">
        <v>45672</v>
      </c>
      <c r="B16" s="5" t="inlineStr">
        <is>
          <t>Wednesday</t>
        </is>
      </c>
      <c r="C16" s="5" t="inlineStr">
        <is>
          <t>Weekday</t>
        </is>
      </c>
      <c r="D16" s="5" t="n">
        <v>150</v>
      </c>
      <c r="E16" s="5" t="n">
        <v>104</v>
      </c>
      <c r="F16" s="12" t="n">
        <v>39024.39</v>
      </c>
      <c r="G16" s="5" t="n">
        <v>6</v>
      </c>
      <c r="H16" s="5" t="n">
        <v>0</v>
      </c>
      <c r="I16" s="9" t="n"/>
    </row>
    <row r="17">
      <c r="A17" s="11" t="n">
        <v>45673</v>
      </c>
      <c r="B17" s="5" t="inlineStr">
        <is>
          <t>Thursday</t>
        </is>
      </c>
      <c r="C17" s="5" t="inlineStr">
        <is>
          <t>Weekday</t>
        </is>
      </c>
      <c r="D17" s="5" t="n">
        <v>150</v>
      </c>
      <c r="E17" s="5" t="n">
        <v>99</v>
      </c>
      <c r="F17" s="12" t="n">
        <v>36745.46</v>
      </c>
      <c r="G17" s="5" t="n">
        <v>2</v>
      </c>
      <c r="H17" s="5" t="n">
        <v>0</v>
      </c>
      <c r="I17" s="9" t="n"/>
    </row>
    <row r="18">
      <c r="A18" s="11" t="n">
        <v>45674</v>
      </c>
      <c r="B18" s="5" t="inlineStr">
        <is>
          <t>Friday</t>
        </is>
      </c>
      <c r="C18" s="5" t="inlineStr">
        <is>
          <t>Weekend</t>
        </is>
      </c>
      <c r="D18" s="5" t="n">
        <v>150</v>
      </c>
      <c r="E18" s="5" t="n">
        <v>105</v>
      </c>
      <c r="F18" s="12" t="n">
        <v>43482.55</v>
      </c>
      <c r="G18" s="5" t="n">
        <v>6</v>
      </c>
      <c r="H18" s="5" t="n">
        <v>0</v>
      </c>
      <c r="I18" s="9" t="n"/>
    </row>
    <row r="19">
      <c r="A19" s="11" t="n">
        <v>45675</v>
      </c>
      <c r="B19" s="5" t="inlineStr">
        <is>
          <t>Saturday</t>
        </is>
      </c>
      <c r="C19" s="5" t="inlineStr">
        <is>
          <t>Weekend</t>
        </is>
      </c>
      <c r="D19" s="5" t="n">
        <v>150</v>
      </c>
      <c r="E19" s="5" t="n">
        <v>109</v>
      </c>
      <c r="F19" s="12" t="n">
        <v>46114.31</v>
      </c>
      <c r="G19" s="5" t="n">
        <v>9</v>
      </c>
      <c r="H19" s="5" t="n">
        <v>0</v>
      </c>
      <c r="I19" s="9" t="n"/>
    </row>
    <row r="20">
      <c r="A20" s="11" t="n">
        <v>45676</v>
      </c>
      <c r="B20" s="5" t="inlineStr">
        <is>
          <t>Sunday</t>
        </is>
      </c>
      <c r="C20" s="5" t="inlineStr">
        <is>
          <t>Weekday</t>
        </is>
      </c>
      <c r="D20" s="5" t="n">
        <v>149</v>
      </c>
      <c r="E20" s="5" t="n">
        <v>81</v>
      </c>
      <c r="F20" s="12" t="n">
        <v>30596</v>
      </c>
      <c r="G20" s="5" t="n">
        <v>6</v>
      </c>
      <c r="H20" s="5" t="n">
        <v>1</v>
      </c>
      <c r="I20" s="9" t="n"/>
    </row>
    <row r="21">
      <c r="A21" s="11" t="n">
        <v>45677</v>
      </c>
      <c r="B21" s="5" t="inlineStr">
        <is>
          <t>Monday</t>
        </is>
      </c>
      <c r="C21" s="5" t="inlineStr">
        <is>
          <t>Weekday</t>
        </is>
      </c>
      <c r="D21" s="5" t="n">
        <v>150</v>
      </c>
      <c r="E21" s="5" t="n">
        <v>89</v>
      </c>
      <c r="F21" s="12" t="n">
        <v>32905.89</v>
      </c>
      <c r="G21" s="5" t="n">
        <v>6</v>
      </c>
      <c r="H21" s="5" t="n">
        <v>0</v>
      </c>
      <c r="I21" s="9" t="n"/>
    </row>
    <row r="22">
      <c r="A22" s="11" t="n">
        <v>45678</v>
      </c>
      <c r="B22" s="5" t="inlineStr">
        <is>
          <t>Tuesday</t>
        </is>
      </c>
      <c r="C22" s="5" t="inlineStr">
        <is>
          <t>Weekday</t>
        </is>
      </c>
      <c r="D22" s="5" t="n">
        <v>150</v>
      </c>
      <c r="E22" s="5" t="n">
        <v>104</v>
      </c>
      <c r="F22" s="12" t="n">
        <v>38912.02</v>
      </c>
      <c r="G22" s="5" t="n">
        <v>8</v>
      </c>
      <c r="H22" s="5" t="n">
        <v>0</v>
      </c>
      <c r="I22" s="9" t="n"/>
    </row>
    <row r="23">
      <c r="A23" s="11" t="n">
        <v>45679</v>
      </c>
      <c r="B23" s="5" t="inlineStr">
        <is>
          <t>Wednesday</t>
        </is>
      </c>
      <c r="C23" s="5" t="inlineStr">
        <is>
          <t>Weekday</t>
        </is>
      </c>
      <c r="D23" s="5" t="n">
        <v>150</v>
      </c>
      <c r="E23" s="5" t="n">
        <v>105</v>
      </c>
      <c r="F23" s="12" t="n">
        <v>39605.53</v>
      </c>
      <c r="G23" s="5" t="n">
        <v>4</v>
      </c>
      <c r="H23" s="5" t="n">
        <v>0</v>
      </c>
      <c r="I23" s="9" t="n"/>
    </row>
    <row r="24">
      <c r="A24" s="11" t="n">
        <v>45680</v>
      </c>
      <c r="B24" s="5" t="inlineStr">
        <is>
          <t>Thursday</t>
        </is>
      </c>
      <c r="C24" s="5" t="inlineStr">
        <is>
          <t>Weekday</t>
        </is>
      </c>
      <c r="D24" s="5" t="n">
        <v>150</v>
      </c>
      <c r="E24" s="5" t="n">
        <v>100</v>
      </c>
      <c r="F24" s="12" t="n">
        <v>37064.2</v>
      </c>
      <c r="G24" s="5" t="n">
        <v>13</v>
      </c>
      <c r="H24" s="5" t="n">
        <v>0</v>
      </c>
      <c r="I24" s="9" t="n"/>
    </row>
    <row r="25">
      <c r="A25" s="11" t="n">
        <v>45681</v>
      </c>
      <c r="B25" s="5" t="inlineStr">
        <is>
          <t>Friday</t>
        </is>
      </c>
      <c r="C25" s="5" t="inlineStr">
        <is>
          <t>Weekend</t>
        </is>
      </c>
      <c r="D25" s="5" t="n">
        <v>150</v>
      </c>
      <c r="E25" s="5" t="n">
        <v>113</v>
      </c>
      <c r="F25" s="12" t="n">
        <v>47812.71</v>
      </c>
      <c r="G25" s="5" t="n">
        <v>10</v>
      </c>
      <c r="H25" s="5" t="n">
        <v>0</v>
      </c>
      <c r="I25" s="9" t="n"/>
    </row>
    <row r="26">
      <c r="A26" s="11" t="n">
        <v>45682</v>
      </c>
      <c r="B26" s="5" t="inlineStr">
        <is>
          <t>Saturday</t>
        </is>
      </c>
      <c r="C26" s="5" t="inlineStr">
        <is>
          <t>Weekend</t>
        </is>
      </c>
      <c r="D26" s="5" t="n">
        <v>150</v>
      </c>
      <c r="E26" s="5" t="n">
        <v>112</v>
      </c>
      <c r="F26" s="12" t="n">
        <v>46461.13</v>
      </c>
      <c r="G26" s="5" t="n">
        <v>3</v>
      </c>
      <c r="H26" s="5" t="n">
        <v>0</v>
      </c>
      <c r="I26" s="9" t="n"/>
    </row>
    <row r="27">
      <c r="A27" s="11" t="n">
        <v>45683</v>
      </c>
      <c r="B27" s="5" t="inlineStr">
        <is>
          <t>Sunday</t>
        </is>
      </c>
      <c r="C27" s="5" t="inlineStr">
        <is>
          <t>Weekday</t>
        </is>
      </c>
      <c r="D27" s="5" t="n">
        <v>150</v>
      </c>
      <c r="E27" s="5" t="n">
        <v>72</v>
      </c>
      <c r="F27" s="12" t="n">
        <v>26881.11</v>
      </c>
      <c r="G27" s="5" t="n">
        <v>7</v>
      </c>
      <c r="H27" s="5" t="n">
        <v>0</v>
      </c>
      <c r="I27" s="9" t="n"/>
    </row>
    <row r="28">
      <c r="A28" s="11" t="n">
        <v>45684</v>
      </c>
      <c r="B28" s="5" t="inlineStr">
        <is>
          <t>Monday</t>
        </is>
      </c>
      <c r="C28" s="5" t="inlineStr">
        <is>
          <t>Weekday</t>
        </is>
      </c>
      <c r="D28" s="5" t="n">
        <v>150</v>
      </c>
      <c r="E28" s="5" t="n">
        <v>95</v>
      </c>
      <c r="F28" s="12" t="n">
        <v>35345.78</v>
      </c>
      <c r="G28" s="5" t="n">
        <v>9</v>
      </c>
      <c r="H28" s="5" t="n">
        <v>0</v>
      </c>
      <c r="I28" s="9" t="n"/>
    </row>
    <row r="29">
      <c r="A29" s="11" t="n">
        <v>45685</v>
      </c>
      <c r="B29" s="5" t="inlineStr">
        <is>
          <t>Tuesday</t>
        </is>
      </c>
      <c r="C29" s="5" t="inlineStr">
        <is>
          <t>Weekday</t>
        </is>
      </c>
      <c r="D29" s="5" t="n">
        <v>150</v>
      </c>
      <c r="E29" s="5" t="n">
        <v>104</v>
      </c>
      <c r="F29" s="12" t="n">
        <v>38678.51</v>
      </c>
      <c r="G29" s="5" t="n">
        <v>7</v>
      </c>
      <c r="H29" s="5" t="n">
        <v>0</v>
      </c>
      <c r="I29" s="9" t="n"/>
    </row>
    <row r="30">
      <c r="A30" s="11" t="n">
        <v>45686</v>
      </c>
      <c r="B30" s="5" t="inlineStr">
        <is>
          <t>Wednesday</t>
        </is>
      </c>
      <c r="C30" s="5" t="inlineStr">
        <is>
          <t>Weekday</t>
        </is>
      </c>
      <c r="D30" s="5" t="n">
        <v>150</v>
      </c>
      <c r="E30" s="5" t="n">
        <v>104</v>
      </c>
      <c r="F30" s="12" t="n">
        <v>38434.05</v>
      </c>
      <c r="G30" s="5" t="n">
        <v>8</v>
      </c>
      <c r="H30" s="5" t="n">
        <v>0</v>
      </c>
      <c r="I30" s="9" t="n"/>
    </row>
    <row r="31">
      <c r="A31" s="11" t="n">
        <v>45687</v>
      </c>
      <c r="B31" s="5" t="inlineStr">
        <is>
          <t>Thursday</t>
        </is>
      </c>
      <c r="C31" s="5" t="inlineStr">
        <is>
          <t>Weekday</t>
        </is>
      </c>
      <c r="D31" s="5" t="n">
        <v>150</v>
      </c>
      <c r="E31" s="5" t="n">
        <v>98</v>
      </c>
      <c r="F31" s="12" t="n">
        <v>36199.6</v>
      </c>
      <c r="G31" s="5" t="n">
        <v>10</v>
      </c>
      <c r="H31" s="5" t="n">
        <v>0</v>
      </c>
      <c r="I31" s="9" t="n"/>
    </row>
    <row r="32">
      <c r="A32" s="11" t="n">
        <v>45688</v>
      </c>
      <c r="B32" s="5" t="inlineStr">
        <is>
          <t>Friday</t>
        </is>
      </c>
      <c r="C32" s="5" t="inlineStr">
        <is>
          <t>Weekend</t>
        </is>
      </c>
      <c r="D32" s="5" t="n">
        <v>150</v>
      </c>
      <c r="E32" s="5" t="n">
        <v>108</v>
      </c>
      <c r="F32" s="12" t="n">
        <v>45003.98</v>
      </c>
      <c r="G32" s="5" t="n">
        <v>8</v>
      </c>
      <c r="H32" s="5" t="n">
        <v>0</v>
      </c>
      <c r="I32" s="9" t="n"/>
    </row>
  </sheetData>
  <conditionalFormatting sqref="E2:E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60" customWidth="1" min="3" max="3"/>
  </cols>
  <sheetData>
    <row r="1">
      <c r="A1" s="4" t="inlineStr">
        <is>
          <t>Assumption</t>
        </is>
      </c>
      <c r="B1" s="4" t="inlineStr">
        <is>
          <t>Value</t>
        </is>
      </c>
      <c r="C1" s="4" t="inlineStr">
        <is>
          <t>Note</t>
        </is>
      </c>
    </row>
    <row r="2">
      <c r="A2" s="5" t="inlineStr">
        <is>
          <t>Rooms in inventory</t>
        </is>
      </c>
      <c r="B2" s="13" t="n">
        <v>150</v>
      </c>
      <c r="C2" t="inlineStr">
        <is>
          <t>Physical rooms</t>
        </is>
      </c>
    </row>
    <row r="3">
      <c r="A3" s="5" t="inlineStr">
        <is>
          <t>Days in January</t>
        </is>
      </c>
      <c r="B3" s="13" t="n">
        <v>31</v>
      </c>
      <c r="C3" t="inlineStr"/>
    </row>
    <row r="4">
      <c r="A4" s="5" t="inlineStr">
        <is>
          <t>Rate change scenario</t>
        </is>
      </c>
      <c r="B4" s="14" t="n">
        <v>0.05</v>
      </c>
      <c r="C4" t="inlineStr">
        <is>
          <t>Allowed range -30% to +30% (data validation)</t>
        </is>
      </c>
    </row>
    <row r="5">
      <c r="A5" s="5" t="inlineStr">
        <is>
          <t>Price elasticity of demand</t>
        </is>
      </c>
      <c r="B5" s="13" t="n">
        <v>-1.2</v>
      </c>
      <c r="C5" t="inlineStr">
        <is>
          <t>-1.2: a 1% rate rise loses about 1.2% of rooms sold</t>
        </is>
      </c>
    </row>
    <row r="6">
      <c r="A6" s="5" t="inlineStr">
        <is>
          <t>Scenario selected</t>
        </is>
      </c>
      <c r="B6" s="13" t="inlineStr">
        <is>
          <t>Base</t>
        </is>
      </c>
      <c r="C6" t="inlineStr">
        <is>
          <t>Drop-down: Base / Upside / Downside</t>
        </is>
      </c>
    </row>
  </sheetData>
  <dataValidations count="2">
    <dataValidation sqref="B4" showDropDown="0" showInputMessage="0" showErrorMessage="1" allowBlank="0" errorTitle="Out of range" error="Enter a rate change between -30% and +30%." type="decimal" operator="between">
      <formula1>-0.3</formula1>
      <formula2>0.3</formula2>
    </dataValidation>
    <dataValidation sqref="B6" showDropDown="0" showInputMessage="0" showErrorMessage="0" allowBlank="0" type="list">
      <formula1>"Base,Upside,Downside"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2" customWidth="1" min="4" max="4"/>
  </cols>
  <sheetData>
    <row r="1">
      <c r="A1" s="4" t="inlineStr">
        <is>
          <t>Month</t>
        </is>
      </c>
      <c r="B1" s="4" t="inlineStr">
        <is>
          <t>Budget Occupancy</t>
        </is>
      </c>
      <c r="C1" s="4" t="inlineStr">
        <is>
          <t>Budget ADR</t>
        </is>
      </c>
      <c r="D1" s="4" t="inlineStr">
        <is>
          <t>Budget Room Revenue</t>
        </is>
      </c>
    </row>
    <row r="2">
      <c r="A2" s="5" t="inlineStr">
        <is>
          <t>Jan</t>
        </is>
      </c>
      <c r="B2" s="15" t="n">
        <v>0.655054</v>
      </c>
      <c r="C2" s="12" t="n">
        <v>385</v>
      </c>
      <c r="D2" s="16" t="n">
        <v>1172710</v>
      </c>
    </row>
    <row r="3">
      <c r="A3" s="5" t="inlineStr">
        <is>
          <t>Feb</t>
        </is>
      </c>
      <c r="B3" s="15" t="n">
        <v>0.695</v>
      </c>
      <c r="C3" s="12" t="n">
        <v>392</v>
      </c>
      <c r="D3" s="16" t="n">
        <v>1144248</v>
      </c>
    </row>
    <row r="4">
      <c r="A4" s="5" t="inlineStr">
        <is>
          <t>Mar</t>
        </is>
      </c>
      <c r="B4" s="15" t="n">
        <v>0.755054</v>
      </c>
      <c r="C4" s="12" t="n">
        <v>412</v>
      </c>
      <c r="D4" s="16" t="n">
        <v>1446532</v>
      </c>
    </row>
    <row r="5">
      <c r="A5" s="5" t="inlineStr">
        <is>
          <t>Apr</t>
        </is>
      </c>
      <c r="B5" s="15" t="n">
        <v>0.795111</v>
      </c>
      <c r="C5" s="12" t="n">
        <v>432</v>
      </c>
      <c r="D5" s="16" t="n">
        <v>1545696</v>
      </c>
    </row>
    <row r="6">
      <c r="A6" s="5" t="inlineStr">
        <is>
          <t>May</t>
        </is>
      </c>
      <c r="B6" s="15" t="n">
        <v>0.824946</v>
      </c>
      <c r="C6" s="12" t="n">
        <v>446</v>
      </c>
      <c r="D6" s="16" t="n">
        <v>1710856</v>
      </c>
    </row>
    <row r="7">
      <c r="A7" s="5" t="inlineStr">
        <is>
          <t>Jun</t>
        </is>
      </c>
      <c r="B7" s="15" t="n">
        <v>0.875111</v>
      </c>
      <c r="C7" s="12" t="n">
        <v>466</v>
      </c>
      <c r="D7" s="16" t="n">
        <v>1835108</v>
      </c>
    </row>
    <row r="8">
      <c r="A8" s="5" t="inlineStr">
        <is>
          <t>Jul</t>
        </is>
      </c>
      <c r="B8" s="15" t="n">
        <v>0.895054</v>
      </c>
      <c r="C8" s="12" t="n">
        <v>486</v>
      </c>
      <c r="D8" s="16" t="n">
        <v>2022732</v>
      </c>
    </row>
    <row r="9">
      <c r="A9" s="5" t="inlineStr">
        <is>
          <t>Aug</t>
        </is>
      </c>
      <c r="B9" s="15" t="n">
        <v>0.864946</v>
      </c>
      <c r="C9" s="12" t="n">
        <v>479</v>
      </c>
      <c r="D9" s="16" t="n">
        <v>1926538</v>
      </c>
    </row>
    <row r="10">
      <c r="A10" s="5" t="inlineStr">
        <is>
          <t>Sep</t>
        </is>
      </c>
      <c r="B10" s="15" t="n">
        <v>0.835111</v>
      </c>
      <c r="C10" s="12" t="n">
        <v>452</v>
      </c>
      <c r="D10" s="16" t="n">
        <v>1698616</v>
      </c>
    </row>
    <row r="11">
      <c r="A11" s="5" t="inlineStr">
        <is>
          <t>Oct</t>
        </is>
      </c>
      <c r="B11" s="15" t="n">
        <v>0.844946</v>
      </c>
      <c r="C11" s="12" t="n">
        <v>446</v>
      </c>
      <c r="D11" s="16" t="n">
        <v>1752334</v>
      </c>
    </row>
    <row r="12">
      <c r="A12" s="5" t="inlineStr">
        <is>
          <t>Nov</t>
        </is>
      </c>
      <c r="B12" s="15" t="n">
        <v>0.735111</v>
      </c>
      <c r="C12" s="12" t="n">
        <v>405</v>
      </c>
      <c r="D12" s="16" t="n">
        <v>1339740</v>
      </c>
    </row>
    <row r="13">
      <c r="A13" s="5" t="inlineStr">
        <is>
          <t>Dec</t>
        </is>
      </c>
      <c r="B13" s="15" t="n">
        <v>0.764946</v>
      </c>
      <c r="C13" s="12" t="n">
        <v>425</v>
      </c>
      <c r="D13" s="16" t="n">
        <v>1511725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2026-10-16T05:39:25Z</dcterms:created>
  <dcterms:modified xsi:type="dcterms:W3CDTF">2026-10-16T05:39:25Z</dcterms:modified>
</cp:coreProperties>
</file>